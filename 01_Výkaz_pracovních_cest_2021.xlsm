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comments1.xml" ContentType="application/vnd.openxmlformats-officedocument.spreadsheetml.comment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21" sheetId="1" state="visible" r:id="rId3"/>
  </sheets>
  <definedNames>
    <definedName function="false" hidden="false" localSheetId="0" name="_xlnm.Print_Area" vbProcedure="false">'2021'!$A$1:$U$48</definedName>
  </definedNames>
  <calcPr iterateCount="100" refMode="A1" iterate="false" iterateDelta="0.0001"/>
  <pivotCaches>
    <pivotCache cacheId="1" r:id="rId5"/>
  </pivotCaches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K9" authorId="0">
      <text>
        <r>
          <rPr>
            <sz val="10"/>
            <rFont val="Arial"/>
            <family val="0"/>
          </rPr>
          <t xml:space="preserve">výběr příslušného měsíce
</t>
        </r>
      </text>
    </comment>
    <comment ref="N9" authorId="0">
      <text>
        <r>
          <rPr>
            <b val="true"/>
            <sz val="9"/>
            <color rgb="FF000000"/>
            <rFont val="Tahoma"/>
            <family val="2"/>
          </rPr>
          <t xml:space="preserve">výběr příslušné sekce</t>
        </r>
      </text>
    </comment>
    <comment ref="R12" authorId="0">
      <text>
        <r>
          <rPr>
            <b val="true"/>
            <sz val="9"/>
            <color rgb="FF000000"/>
            <rFont val="Tahoma"/>
            <family val="2"/>
          </rPr>
          <t xml:space="preserve">000  Režie ostatní
001  Režie rozvodny - Brno
002  Režie rozvodny - ČB
003  Režie linky
004  Režie projekce
005  Režie obchod
006  Režie ekonomika &amp; finance
007  Režie NN/VN E.ON
008  Režie stavební sekce
009 Režie NN/VN střed,západ
010 Režie NN/VN Brno</t>
        </r>
      </text>
    </comment>
  </commentList>
</comments>
</file>

<file path=xl/sharedStrings.xml><?xml version="1.0" encoding="utf-8"?>
<sst xmlns="http://schemas.openxmlformats.org/spreadsheetml/2006/main" count="40" uniqueCount="38">
  <si>
    <t xml:space="preserve">000  Režie ostatní</t>
  </si>
  <si>
    <t xml:space="preserve">001  Režie rozvodny - Brno</t>
  </si>
  <si>
    <t xml:space="preserve">002  Režie rozvodny - ČB</t>
  </si>
  <si>
    <t xml:space="preserve">Měsíční výkaz pracovních cest</t>
  </si>
  <si>
    <t xml:space="preserve">003  Režie linky</t>
  </si>
  <si>
    <t xml:space="preserve">004  Režie projekce</t>
  </si>
  <si>
    <t xml:space="preserve">2021</t>
  </si>
  <si>
    <t xml:space="preserve">005  Režie obchod</t>
  </si>
  <si>
    <t xml:space="preserve">Příjmení, jméno</t>
  </si>
  <si>
    <t xml:space="preserve">Osobní číslo</t>
  </si>
  <si>
    <t xml:space="preserve">Měsíc / rok</t>
  </si>
  <si>
    <t xml:space="preserve">Nákladová sekce</t>
  </si>
  <si>
    <t xml:space="preserve">006  Režie ekonomika &amp; finance</t>
  </si>
  <si>
    <t xml:space="preserve">007  Režie NN/VN E.ON</t>
  </si>
  <si>
    <t xml:space="preserve">Datum</t>
  </si>
  <si>
    <t xml:space="preserve">Odkud - kam (zpět)</t>
  </si>
  <si>
    <t xml:space="preserve">Od
(min 0:00)</t>
  </si>
  <si>
    <t xml:space="preserve">Do
(max 23:59)</t>
  </si>
  <si>
    <t xml:space="preserve">Celkový čas</t>
  </si>
  <si>
    <t xml:space="preserve">Stravné</t>
  </si>
  <si>
    <t xml:space="preserve">snížení za snídani</t>
  </si>
  <si>
    <t xml:space="preserve">Počet poskytnutých bezplatných jídel</t>
  </si>
  <si>
    <t xml:space="preserve">Stravné (konečná částka)</t>
  </si>
  <si>
    <t xml:space="preserve">Zaplacené ubytování</t>
  </si>
  <si>
    <t xml:space="preserve">Ostatní výdaje související s cestou</t>
  </si>
  <si>
    <t xml:space="preserve">Cestovní náhrada celkem</t>
  </si>
  <si>
    <t xml:space="preserve">Číslo zakázky</t>
  </si>
  <si>
    <t xml:space="preserve">Součet z Cestovní náhrada celkem</t>
  </si>
  <si>
    <t xml:space="preserve">008  Režie stavební sekce</t>
  </si>
  <si>
    <t xml:space="preserve">(prázdné)</t>
  </si>
  <si>
    <t xml:space="preserve">009 Režie NN/VN střed,západ</t>
  </si>
  <si>
    <t xml:space="preserve">Celkem Výsledek</t>
  </si>
  <si>
    <t xml:space="preserve">010 Režie NN/VN Brno</t>
  </si>
  <si>
    <t xml:space="preserve">Celkem</t>
  </si>
  <si>
    <t xml:space="preserve">Celkem k proplacení</t>
  </si>
  <si>
    <t xml:space="preserve">Podpis účtovatele</t>
  </si>
  <si>
    <t xml:space="preserve">Podpis schvalovatele</t>
  </si>
  <si>
    <t xml:space="preserve">Kontroloval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</si>
</sst>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@"/>
    <numFmt numFmtId="166" formatCode="d/m;@"/>
    <numFmt numFmtId="167" formatCode="h:mm;@"/>
    <numFmt numFmtId="168" formatCode="0.0"/>
    <numFmt numFmtId="169" formatCode="#,##0.00&quot; Kč&quot;"/>
    <numFmt numFmtId="170" formatCode="#,##0.00"/>
    <numFmt numFmtId="171" formatCode="d/m/yyyy"/>
  </numFmts>
  <fonts count="14"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0"/>
    </font>
    <font>
      <sz val="15"/>
      <name val="Arial"/>
      <family val="2"/>
    </font>
    <font>
      <b val="true"/>
      <sz val="18"/>
      <name val="Arial"/>
      <family val="2"/>
    </font>
    <font>
      <sz val="12"/>
      <name val="Arial"/>
      <family val="2"/>
    </font>
    <font>
      <b val="true"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1"/>
      <name val="Arial"/>
      <family val="2"/>
    </font>
    <font>
      <b val="true"/>
      <sz val="14"/>
      <name val="Arial"/>
      <family val="2"/>
    </font>
    <font>
      <b val="true"/>
      <sz val="9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D9D9D9"/>
      </patternFill>
    </fill>
    <fill>
      <patternFill patternType="solid">
        <fgColor rgb="FFF2F2F2"/>
        <bgColor rgb="FFFFFFCC"/>
      </patternFill>
    </fill>
    <fill>
      <patternFill patternType="solid">
        <fgColor rgb="FFD9D9D9"/>
        <bgColor rgb="FFF2F2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5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5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0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3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7" fontId="10" fillId="0" borderId="3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8" fontId="5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5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10" fillId="3" borderId="3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70" fontId="11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10" fillId="0" borderId="3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70" fontId="10" fillId="3" borderId="4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10" fillId="0" borderId="3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0" borderId="7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0" fontId="0" fillId="0" borderId="8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9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0" fontId="4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2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10" fillId="4" borderId="1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70" fontId="10" fillId="4" borderId="3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70" fontId="10" fillId="4" borderId="8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12" fillId="4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4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5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odnota kontingenční tabulky" xfId="20"/>
    <cellStyle name="Kategorie kontingenční tabulky" xfId="21"/>
    <cellStyle name="Nadpis kontingenční tabulky" xfId="22"/>
    <cellStyle name="Pole kontingenční tabulky" xfId="23"/>
    <cellStyle name="Roh kontingenční tabulky" xfId="24"/>
    <cellStyle name="Výsledek kontingenční tabulky" xfId="25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360</xdr:colOff>
      <xdr:row>0</xdr:row>
      <xdr:rowOff>0</xdr:rowOff>
    </xdr:from>
    <xdr:to>
      <xdr:col>2</xdr:col>
      <xdr:colOff>419760</xdr:colOff>
      <xdr:row>4</xdr:row>
      <xdr:rowOff>93240</xdr:rowOff>
    </xdr:to>
    <xdr:pic>
      <xdr:nvPicPr>
        <xdr:cNvPr id="0" name="Obrázek 1" descr=""/>
        <xdr:cNvPicPr/>
      </xdr:nvPicPr>
      <xdr:blipFill>
        <a:blip r:embed="rId1"/>
        <a:stretch/>
      </xdr:blipFill>
      <xdr:spPr>
        <a:xfrm>
          <a:off x="360" y="0"/>
          <a:ext cx="1104480" cy="1035360"/>
        </a:xfrm>
        <a:prstGeom prst="rect">
          <a:avLst/>
        </a:prstGeom>
        <a:ln w="936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30" createdVersion="3">
  <cacheSource type="worksheet">
    <worksheetSource ref="Q12:R42" sheet="2021"/>
  </cacheSource>
  <cacheFields count="2">
    <cacheField name="Cestovní náhrada celkem" numFmtId="0">
      <sharedItems containsMixedTypes="1" containsNumber="1" minValue="167" maxValue="259" count="4">
        <n v="167"/>
        <n v="194.25"/>
        <n v="259"/>
        <s v=""/>
      </sharedItems>
    </cacheField>
    <cacheField name="Číslo zakázky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</r>
  <r>
    <x v="1"/>
    <x v="0"/>
  </r>
  <r>
    <x v="2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Kontingenční tabulka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T12:U14" firstHeaderRow="1" firstDataRow="1" firstDataCol="1"/>
  <pivotFields count="2">
    <pivotField dataField="1" compact="0" showAll="0"/>
    <pivotField axis="axisRow" compact="0" showAll="0" defaultSubtotal="0">
      <items count="1">
        <item x="0"/>
      </items>
    </pivotField>
  </pivotFields>
  <rowFields count="1">
    <field x="1"/>
  </rowFields>
  <dataFields count="1">
    <dataField name="Součet z Cestovní náhrada celkem" fld="0" subtotal="sum" numFmtId="170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4:AA50"/>
  <sheetViews>
    <sheetView showFormulas="false" showGridLines="false" showRowColHeaders="true" showZeros="true" rightToLeft="false" tabSelected="true" showOutlineSymbols="true" defaultGridColor="true" view="normal" topLeftCell="A10" colorId="64" zoomScale="85" zoomScaleNormal="85" zoomScalePageLayoutView="100" workbookViewId="0">
      <selection pane="topLeft" activeCell="E17" activeCellId="0" sqref="E17"/>
    </sheetView>
  </sheetViews>
  <sheetFormatPr defaultColWidth="9.1484375" defaultRowHeight="18.55" zeroHeight="false" outlineLevelRow="0" outlineLevelCol="0"/>
  <cols>
    <col collapsed="false" customWidth="true" hidden="true" outlineLevel="0" max="1" min="1" style="1" width="2.71"/>
    <col collapsed="false" customWidth="true" hidden="false" outlineLevel="0" max="2" min="2" style="1" width="9.71"/>
    <col collapsed="false" customWidth="true" hidden="false" outlineLevel="0" max="3" min="3" style="1" width="50"/>
    <col collapsed="false" customWidth="true" hidden="false" outlineLevel="0" max="4" min="4" style="1" width="13.7"/>
    <col collapsed="false" customWidth="true" hidden="false" outlineLevel="0" max="5" min="5" style="1" width="10.85"/>
    <col collapsed="false" customWidth="true" hidden="false" outlineLevel="0" max="6" min="6" style="1" width="10.99"/>
    <col collapsed="false" customWidth="true" hidden="false" outlineLevel="0" max="7" min="7" style="1" width="7.57"/>
    <col collapsed="false" customWidth="true" hidden="false" outlineLevel="0" max="8" min="8" style="1" width="16"/>
    <col collapsed="false" customWidth="true" hidden="false" outlineLevel="0" max="9" min="9" style="1" width="15"/>
    <col collapsed="false" customWidth="true" hidden="false" outlineLevel="0" max="10" min="10" style="1" width="3.71"/>
    <col collapsed="false" customWidth="true" hidden="false" outlineLevel="0" max="11" min="11" style="1" width="5.86"/>
    <col collapsed="false" customWidth="true" hidden="false" outlineLevel="0" max="12" min="12" style="1" width="7.57"/>
    <col collapsed="false" customWidth="true" hidden="false" outlineLevel="0" max="13" min="13" style="1" width="3.86"/>
    <col collapsed="false" customWidth="true" hidden="false" outlineLevel="0" max="14" min="14" style="1" width="17.29"/>
    <col collapsed="false" customWidth="true" hidden="false" outlineLevel="0" max="15" min="15" style="1" width="3.42"/>
    <col collapsed="false" customWidth="true" hidden="false" outlineLevel="0" max="16" min="16" style="1" width="16.71"/>
    <col collapsed="false" customWidth="true" hidden="false" outlineLevel="0" max="17" min="17" style="1" width="19.42"/>
    <col collapsed="false" customWidth="true" hidden="false" outlineLevel="0" max="18" min="18" style="1" width="28.86"/>
    <col collapsed="false" customWidth="true" hidden="false" outlineLevel="0" max="19" min="19" style="0" width="2.85"/>
    <col collapsed="false" customWidth="true" hidden="false" outlineLevel="0" max="20" min="20" style="2" width="22.14"/>
    <col collapsed="false" customWidth="true" hidden="false" outlineLevel="0" max="21" min="21" style="3" width="18.58"/>
    <col collapsed="false" customWidth="true" hidden="false" outlineLevel="0" max="22" min="22" style="1" width="14.28"/>
    <col collapsed="false" customWidth="false" hidden="false" outlineLevel="0" max="26" min="23" style="1" width="9.13"/>
    <col collapsed="false" customWidth="true" hidden="true" outlineLevel="0" max="27" min="27" style="1" width="11.52"/>
    <col collapsed="false" customWidth="false" hidden="false" outlineLevel="0" max="1024" min="28" style="1" width="9.13"/>
  </cols>
  <sheetData>
    <row r="4" customFormat="false" ht="18.55" hidden="false" customHeight="false" outlineLevel="0" collapsed="false">
      <c r="AA4" s="1" t="s">
        <v>0</v>
      </c>
    </row>
    <row r="5" customFormat="false" ht="18.55" hidden="false" customHeight="false" outlineLevel="0" collapsed="false">
      <c r="AA5" s="1" t="s">
        <v>1</v>
      </c>
    </row>
    <row r="6" customFormat="false" ht="18.55" hidden="false" customHeight="false" outlineLevel="0" collapsed="false">
      <c r="AA6" s="1" t="s">
        <v>2</v>
      </c>
    </row>
    <row r="7" s="4" customFormat="true" ht="33" hidden="false" customHeight="true" outlineLevel="0" collapsed="false">
      <c r="B7" s="5" t="s">
        <v>3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T7" s="2"/>
      <c r="U7" s="6"/>
      <c r="AA7" s="4" t="s">
        <v>4</v>
      </c>
    </row>
    <row r="8" s="4" customFormat="true" ht="28.5" hidden="false" customHeight="true" outlineLevel="0" collapsed="false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T8" s="2"/>
      <c r="U8" s="6"/>
      <c r="AA8" s="4" t="s">
        <v>5</v>
      </c>
    </row>
    <row r="9" s="3" customFormat="true" ht="18" hidden="false" customHeight="true" outlineLevel="0" collapsed="false">
      <c r="B9" s="8"/>
      <c r="C9" s="8"/>
      <c r="D9" s="9"/>
      <c r="E9" s="8"/>
      <c r="F9" s="8"/>
      <c r="G9" s="8"/>
      <c r="H9" s="8"/>
      <c r="I9" s="8"/>
      <c r="J9" s="9"/>
      <c r="K9" s="10"/>
      <c r="L9" s="11" t="s">
        <v>6</v>
      </c>
      <c r="M9" s="12"/>
      <c r="N9" s="13"/>
      <c r="O9" s="13"/>
      <c r="P9" s="13"/>
      <c r="Q9" s="9"/>
      <c r="R9" s="9"/>
      <c r="T9" s="2"/>
      <c r="U9" s="12"/>
      <c r="V9" s="12"/>
      <c r="AA9" s="3" t="s">
        <v>7</v>
      </c>
    </row>
    <row r="10" s="14" customFormat="true" ht="18" hidden="false" customHeight="true" outlineLevel="0" collapsed="false">
      <c r="B10" s="14" t="s">
        <v>8</v>
      </c>
      <c r="D10" s="15"/>
      <c r="E10" s="14" t="s">
        <v>9</v>
      </c>
      <c r="J10" s="15"/>
      <c r="K10" s="16" t="s">
        <v>10</v>
      </c>
      <c r="L10" s="16"/>
      <c r="N10" s="14" t="s">
        <v>11</v>
      </c>
      <c r="Q10" s="15"/>
      <c r="R10" s="15"/>
      <c r="T10" s="2"/>
      <c r="U10" s="17"/>
      <c r="AA10" s="14" t="s">
        <v>12</v>
      </c>
    </row>
    <row r="11" customFormat="false" ht="18" hidden="false" customHeight="true" outlineLevel="0" collapsed="false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AA11" s="1" t="s">
        <v>13</v>
      </c>
    </row>
    <row r="12" s="19" customFormat="true" ht="38.25" hidden="false" customHeight="true" outlineLevel="0" collapsed="false">
      <c r="B12" s="20" t="s">
        <v>14</v>
      </c>
      <c r="C12" s="20" t="s">
        <v>15</v>
      </c>
      <c r="D12" s="21" t="s">
        <v>16</v>
      </c>
      <c r="E12" s="21" t="s">
        <v>17</v>
      </c>
      <c r="F12" s="20" t="s">
        <v>18</v>
      </c>
      <c r="G12" s="20" t="s">
        <v>19</v>
      </c>
      <c r="H12" s="20" t="s">
        <v>20</v>
      </c>
      <c r="I12" s="21" t="s">
        <v>21</v>
      </c>
      <c r="J12" s="21" t="s">
        <v>22</v>
      </c>
      <c r="K12" s="21"/>
      <c r="L12" s="21"/>
      <c r="M12" s="21" t="s">
        <v>23</v>
      </c>
      <c r="N12" s="21"/>
      <c r="O12" s="21" t="s">
        <v>24</v>
      </c>
      <c r="P12" s="21"/>
      <c r="Q12" s="22" t="s">
        <v>25</v>
      </c>
      <c r="R12" s="20" t="s">
        <v>26</v>
      </c>
      <c r="T12" s="23" t="s">
        <v>26</v>
      </c>
      <c r="U12" s="24" t="s">
        <v>27</v>
      </c>
      <c r="AA12" s="19" t="s">
        <v>28</v>
      </c>
    </row>
    <row r="13" s="25" customFormat="true" ht="18.55" hidden="false" customHeight="false" outlineLevel="0" collapsed="false">
      <c r="B13" s="26"/>
      <c r="C13" s="27"/>
      <c r="D13" s="28" t="n">
        <v>0.459027777777778</v>
      </c>
      <c r="E13" s="28" t="n">
        <v>1</v>
      </c>
      <c r="F13" s="29" t="n">
        <f aca="false">(E13-D13)*24</f>
        <v>12.9833333333333</v>
      </c>
      <c r="G13" s="30" t="str">
        <f aca="false">IF(F13&gt;18,"259",IF(F13&gt;12,"167",IF(F13&gt;=5,"108","0")))</f>
        <v>167</v>
      </c>
      <c r="H13" s="30" t="str">
        <f aca="false">IF(I13="x",IF(G13="108",0.1*G13,IF(I13="x",IF(G13="167",0.1*G13,IF(I13="x",IF(G13="259",0.15*G13))))),"0")</f>
        <v>0</v>
      </c>
      <c r="I13" s="31" t="n">
        <v>0</v>
      </c>
      <c r="J13" s="32" t="n">
        <f aca="false">IF(F13&gt;=5,G13-IF(F13&gt;18,(G13*I13*0.25),IF(F13&gt;12,(IF(I13&gt;2,G13,(G13*I13*0.35))),(IF(I13&gt;1,G13,(G13*I13*0.7))))),"")</f>
        <v>167</v>
      </c>
      <c r="K13" s="32"/>
      <c r="L13" s="32"/>
      <c r="M13" s="33"/>
      <c r="N13" s="33"/>
      <c r="O13" s="34"/>
      <c r="P13" s="34"/>
      <c r="Q13" s="35" t="n">
        <f aca="false">IF(AND(J13="",M13="",O13=""),"",SUM(J13:P13))</f>
        <v>167</v>
      </c>
      <c r="R13" s="36"/>
      <c r="T13" s="37" t="s">
        <v>29</v>
      </c>
      <c r="U13" s="38" t="n">
        <v>367</v>
      </c>
      <c r="AA13" s="25" t="s">
        <v>30</v>
      </c>
    </row>
    <row r="14" s="39" customFormat="true" ht="18.55" hidden="false" customHeight="false" outlineLevel="0" collapsed="false">
      <c r="B14" s="26"/>
      <c r="C14" s="27"/>
      <c r="D14" s="28" t="n">
        <v>0</v>
      </c>
      <c r="E14" s="28" t="n">
        <v>1</v>
      </c>
      <c r="F14" s="29" t="n">
        <f aca="false">(E14-D14)*24</f>
        <v>24</v>
      </c>
      <c r="G14" s="30" t="str">
        <f aca="false">IF(F14&gt;18,"259",IF(F14&gt;12,"167",IF(F14&gt;=5,"108","0")))</f>
        <v>259</v>
      </c>
      <c r="H14" s="30" t="str">
        <f aca="false">IF(I14="x",IF(G14="108",0.1*G14,IF(I14="x",IF(G14="167",0.1*G14,IF(I14="x",IF(G14="259",0.15*G14))))),"0")</f>
        <v>0</v>
      </c>
      <c r="I14" s="31" t="n">
        <v>0</v>
      </c>
      <c r="J14" s="32" t="n">
        <f aca="false">IF(F14&gt;=5,G14-IF(F14&gt;18,(G14*I14*0.25),IF(F14&gt;12,(IF(I14&gt;2,G14,(G14*I14*0.35))),(IF(I14&gt;1,G14,(G14*I14*0.7))))),"")</f>
        <v>259</v>
      </c>
      <c r="K14" s="32"/>
      <c r="L14" s="32"/>
      <c r="M14" s="33"/>
      <c r="N14" s="33"/>
      <c r="O14" s="34"/>
      <c r="P14" s="34"/>
      <c r="Q14" s="35" t="n">
        <f aca="false">IF(AND(J14="",M14="",O14=""),"",SUM(J14:P14))</f>
        <v>259</v>
      </c>
      <c r="R14" s="36"/>
      <c r="T14" s="40" t="s">
        <v>31</v>
      </c>
      <c r="U14" s="41" t="n">
        <v>367</v>
      </c>
      <c r="AA14" s="39" t="s">
        <v>32</v>
      </c>
    </row>
    <row r="15" s="39" customFormat="true" ht="18.55" hidden="false" customHeight="false" outlineLevel="0" collapsed="false">
      <c r="B15" s="26"/>
      <c r="C15" s="27"/>
      <c r="D15" s="28" t="n">
        <v>0</v>
      </c>
      <c r="E15" s="28" t="n">
        <v>1</v>
      </c>
      <c r="F15" s="29" t="n">
        <f aca="false">(E15-D15)*24</f>
        <v>24</v>
      </c>
      <c r="G15" s="30" t="str">
        <f aca="false">IF(F15&gt;18,"259",IF(F15&gt;12,"167",IF(F15&gt;=5,"108","0")))</f>
        <v>259</v>
      </c>
      <c r="H15" s="30" t="str">
        <f aca="false">IF(I15="x",IF(G15="108",0.1*G15,IF(I15="x",IF(G15="167",0.1*G15,IF(I15="x",IF(G15="259",0.15*G15))))),"0")</f>
        <v>0</v>
      </c>
      <c r="I15" s="31" t="n">
        <v>0</v>
      </c>
      <c r="J15" s="32" t="n">
        <f aca="false">IF(F15&gt;=5,G15-IF(F15&gt;18,(G15*I15*0.25),IF(F15&gt;12,(IF(I15&gt;2,G15,(G15*I15*0.35))),(IF(I15&gt;1,G15,(G15*I15*0.7))))),"")</f>
        <v>259</v>
      </c>
      <c r="K15" s="32"/>
      <c r="L15" s="32"/>
      <c r="M15" s="33"/>
      <c r="N15" s="33"/>
      <c r="O15" s="34"/>
      <c r="P15" s="34"/>
      <c r="Q15" s="35" t="n">
        <f aca="false">IF(AND(J15="",M15="",O15=""),"",SUM(J15:P15))</f>
        <v>259</v>
      </c>
      <c r="R15" s="36"/>
    </row>
    <row r="16" s="39" customFormat="true" ht="18" hidden="false" customHeight="true" outlineLevel="0" collapsed="false">
      <c r="B16" s="26"/>
      <c r="C16" s="27"/>
      <c r="D16" s="28" t="n">
        <v>0</v>
      </c>
      <c r="E16" s="28" t="n">
        <v>0.952083333333333</v>
      </c>
      <c r="F16" s="29" t="n">
        <f aca="false">(E16-D16)*24</f>
        <v>22.85</v>
      </c>
      <c r="G16" s="30" t="str">
        <f aca="false">IF(F16&gt;18,"259",IF(F16&gt;12,"167",IF(F16&gt;=5,"108","0")))</f>
        <v>259</v>
      </c>
      <c r="H16" s="30" t="str">
        <f aca="false">IF(I16="x",IF(G16="108",0.1*G16,IF(I16="x",IF(G16="167",0.1*G16,IF(I16="x",IF(G16="259",0.15*G16))))),"0")</f>
        <v>0</v>
      </c>
      <c r="I16" s="31" t="n">
        <v>0</v>
      </c>
      <c r="J16" s="32" t="n">
        <f aca="false">IF(F16&gt;=5,G16-IF(F16&gt;18,(G16*I16*0.25),IF(F16&gt;12,(IF(I16&gt;2,G16,(G16*I16*0.35))),(IF(I16&gt;1,G16,(G16*I16*0.7))))),"")</f>
        <v>259</v>
      </c>
      <c r="K16" s="32"/>
      <c r="L16" s="32"/>
      <c r="M16" s="33"/>
      <c r="N16" s="33"/>
      <c r="O16" s="34"/>
      <c r="P16" s="34"/>
      <c r="Q16" s="35" t="n">
        <f aca="false">IF(AND(J16="",M16="",O16=""),"",SUM(J16:P16))</f>
        <v>259</v>
      </c>
      <c r="R16" s="36"/>
    </row>
    <row r="17" s="39" customFormat="true" ht="18" hidden="false" customHeight="true" outlineLevel="0" collapsed="false">
      <c r="B17" s="26"/>
      <c r="C17" s="27"/>
      <c r="D17" s="28"/>
      <c r="E17" s="28"/>
      <c r="F17" s="29" t="n">
        <f aca="false">(E17-D17)*24</f>
        <v>0</v>
      </c>
      <c r="G17" s="30" t="str">
        <f aca="false">IF(F17&gt;18,"259",IF(F17&gt;12,"167",IF(F17&gt;=5,"108","0")))</f>
        <v>0</v>
      </c>
      <c r="H17" s="30" t="str">
        <f aca="false">IF(I17="x",IF(G17="108",0.1*G17,IF(I17="x",IF(G17="167",0.1*G17,IF(I17="x",IF(G17="259",0.15*G17))))),"0")</f>
        <v>0</v>
      </c>
      <c r="I17" s="31"/>
      <c r="J17" s="32" t="str">
        <f aca="false">IF(F17&gt;=5,G17-IF(F17&gt;18,(G17*I17*0.25),IF(F17&gt;12,(IF(I17&gt;2,G17,(G17*I17*0.35))),(IF(I17&gt;1,G17,(G17*I17*0.7))))),"")</f>
        <v/>
      </c>
      <c r="K17" s="32"/>
      <c r="L17" s="32"/>
      <c r="M17" s="33"/>
      <c r="N17" s="33"/>
      <c r="O17" s="34"/>
      <c r="P17" s="34"/>
      <c r="Q17" s="35" t="str">
        <f aca="false">IF(AND(J17="",M17="",O17=""),"",SUM(J17:P17))</f>
        <v/>
      </c>
      <c r="R17" s="36"/>
    </row>
    <row r="18" s="39" customFormat="true" ht="18" hidden="false" customHeight="true" outlineLevel="0" collapsed="false">
      <c r="B18" s="26"/>
      <c r="C18" s="27"/>
      <c r="D18" s="28"/>
      <c r="E18" s="28"/>
      <c r="F18" s="29" t="n">
        <f aca="false">(E18-D18)*24</f>
        <v>0</v>
      </c>
      <c r="G18" s="30" t="str">
        <f aca="false">IF(F18&gt;18,"259",IF(F18&gt;12,"167",IF(F18&gt;=5,"108","0")))</f>
        <v>0</v>
      </c>
      <c r="H18" s="30" t="str">
        <f aca="false">IF(I18="x",IF(G18="108",0.1*G18,IF(I18="x",IF(G18="167",0.1*G18,IF(I18="x",IF(G18="259",0.15*G18))))),"0")</f>
        <v>0</v>
      </c>
      <c r="I18" s="31"/>
      <c r="J18" s="32" t="str">
        <f aca="false">IF(F18&gt;=5,G18-IF(F18&gt;18,(G18*I18*0.25),IF(F18&gt;12,(IF(I18&gt;2,G18,(G18*I18*0.35))),(IF(I18&gt;1,G18,(G18*I18*0.7))))),"")</f>
        <v/>
      </c>
      <c r="K18" s="32"/>
      <c r="L18" s="32"/>
      <c r="M18" s="33"/>
      <c r="N18" s="33"/>
      <c r="O18" s="34"/>
      <c r="P18" s="34"/>
      <c r="Q18" s="35" t="str">
        <f aca="false">IF(AND(J18="",M18="",O18=""),"",SUM(J18:P18))</f>
        <v/>
      </c>
      <c r="R18" s="36"/>
    </row>
    <row r="19" s="39" customFormat="true" ht="18" hidden="false" customHeight="true" outlineLevel="0" collapsed="false">
      <c r="B19" s="26"/>
      <c r="C19" s="27"/>
      <c r="D19" s="28"/>
      <c r="E19" s="28"/>
      <c r="F19" s="29" t="n">
        <f aca="false">(E19-D19)*24</f>
        <v>0</v>
      </c>
      <c r="G19" s="30" t="str">
        <f aca="false">IF(F19&gt;18,"259",IF(F19&gt;12,"167",IF(F19&gt;=5,"108","0")))</f>
        <v>0</v>
      </c>
      <c r="H19" s="30" t="str">
        <f aca="false">IF(I19="x",IF(G19="108",0.1*G19,IF(I19="x",IF(G19="167",0.1*G19,IF(I19="x",IF(G19="259",0.15*G19))))),"0")</f>
        <v>0</v>
      </c>
      <c r="I19" s="31"/>
      <c r="J19" s="32" t="str">
        <f aca="false">IF(F19&gt;=5,G19-IF(F19&gt;18,(G19*I19*0.25),IF(F19&gt;12,(IF(I19&gt;2,G19,(G19*I19*0.35))),(IF(I19&gt;1,G19,(G19*I19*0.7))))),"")</f>
        <v/>
      </c>
      <c r="K19" s="32"/>
      <c r="L19" s="32"/>
      <c r="M19" s="33"/>
      <c r="N19" s="33"/>
      <c r="O19" s="34"/>
      <c r="P19" s="34"/>
      <c r="Q19" s="35" t="str">
        <f aca="false">IF(AND(J19="",M19="",O19=""),"",SUM(J19:P19))</f>
        <v/>
      </c>
      <c r="R19" s="36"/>
    </row>
    <row r="20" s="39" customFormat="true" ht="18" hidden="false" customHeight="true" outlineLevel="0" collapsed="false">
      <c r="B20" s="26"/>
      <c r="C20" s="27"/>
      <c r="D20" s="28"/>
      <c r="E20" s="28"/>
      <c r="F20" s="29" t="n">
        <f aca="false">(E20-D20)*24</f>
        <v>0</v>
      </c>
      <c r="G20" s="30" t="str">
        <f aca="false">IF(F20&gt;18,"259",IF(F20&gt;12,"167",IF(F20&gt;=5,"108","0")))</f>
        <v>0</v>
      </c>
      <c r="H20" s="30" t="str">
        <f aca="false">IF(I20="x",IF(G20="108",0.1*G20,IF(I20="x",IF(G20="167",0.1*G20,IF(I20="x",IF(G20="259",0.15*G20))))),"0")</f>
        <v>0</v>
      </c>
      <c r="I20" s="31"/>
      <c r="J20" s="32" t="str">
        <f aca="false">IF(F20&gt;=5,G20-IF(F20&gt;18,(G20*I20*0.25),IF(F20&gt;12,(IF(I20&gt;2,G20,(G20*I20*0.35))),(IF(I20&gt;1,G20,(G20*I20*0.7))))),"")</f>
        <v/>
      </c>
      <c r="K20" s="32"/>
      <c r="L20" s="32"/>
      <c r="M20" s="33"/>
      <c r="N20" s="33"/>
      <c r="O20" s="34"/>
      <c r="P20" s="34"/>
      <c r="Q20" s="35" t="str">
        <f aca="false">IF(AND(J20="",M20="",O20=""),"",SUM(J20:P20))</f>
        <v/>
      </c>
      <c r="R20" s="36"/>
    </row>
    <row r="21" s="39" customFormat="true" ht="18" hidden="false" customHeight="true" outlineLevel="0" collapsed="false">
      <c r="B21" s="26"/>
      <c r="C21" s="27"/>
      <c r="D21" s="28"/>
      <c r="E21" s="28"/>
      <c r="F21" s="29" t="n">
        <f aca="false">(E21-D21)*24</f>
        <v>0</v>
      </c>
      <c r="G21" s="30" t="str">
        <f aca="false">IF(F21&gt;18,"259",IF(F21&gt;12,"167",IF(F21&gt;=5,"108","0")))</f>
        <v>0</v>
      </c>
      <c r="H21" s="30" t="str">
        <f aca="false">IF(I21="x",IF(G21="108",0.1*G21,IF(I21="x",IF(G21="167",0.1*G21,IF(I21="x",IF(G21="259",0.15*G21))))),"0")</f>
        <v>0</v>
      </c>
      <c r="I21" s="31"/>
      <c r="J21" s="32" t="str">
        <f aca="false">IF(F21&gt;=5,G21-IF(F21&gt;18,(G21*I21*0.25),IF(F21&gt;12,(IF(I21&gt;2,G21,(G21*I21*0.35))),(IF(I21&gt;1,G21,(G21*I21*0.7))))),"")</f>
        <v/>
      </c>
      <c r="K21" s="32"/>
      <c r="L21" s="32"/>
      <c r="M21" s="33"/>
      <c r="N21" s="33"/>
      <c r="O21" s="34"/>
      <c r="P21" s="34"/>
      <c r="Q21" s="35" t="str">
        <f aca="false">IF(AND(J21="",M21="",O21=""),"",SUM(J21:P21))</f>
        <v/>
      </c>
      <c r="R21" s="36"/>
    </row>
    <row r="22" s="39" customFormat="true" ht="18" hidden="false" customHeight="true" outlineLevel="0" collapsed="false">
      <c r="B22" s="26"/>
      <c r="C22" s="27"/>
      <c r="D22" s="28"/>
      <c r="E22" s="28"/>
      <c r="F22" s="29" t="n">
        <f aca="false">(E22-D22)*24</f>
        <v>0</v>
      </c>
      <c r="G22" s="30" t="str">
        <f aca="false">IF(F22&gt;18,"259",IF(F22&gt;12,"167",IF(F22&gt;=5,"108","0")))</f>
        <v>0</v>
      </c>
      <c r="H22" s="30" t="str">
        <f aca="false">IF(I22="x",IF(G22="108",0.1*G22,IF(I22="x",IF(G22="167",0.1*G22,IF(I22="x",IF(G22="259",0.15*G22))))),"0")</f>
        <v>0</v>
      </c>
      <c r="I22" s="31"/>
      <c r="J22" s="32" t="str">
        <f aca="false">IF(F22&gt;=5,G22-IF(F22&gt;18,(G22*I22*0.25),IF(F22&gt;12,(IF(I22&gt;2,G22,(G22*I22*0.35))),(IF(I22&gt;1,G22,(G22*I22*0.7))))),"")</f>
        <v/>
      </c>
      <c r="K22" s="32"/>
      <c r="L22" s="32"/>
      <c r="M22" s="33"/>
      <c r="N22" s="33"/>
      <c r="O22" s="34"/>
      <c r="P22" s="34"/>
      <c r="Q22" s="35" t="str">
        <f aca="false">IF(AND(J22="",M22="",O22=""),"",SUM(J22:P22))</f>
        <v/>
      </c>
      <c r="R22" s="36"/>
    </row>
    <row r="23" s="39" customFormat="true" ht="18" hidden="false" customHeight="true" outlineLevel="0" collapsed="false">
      <c r="B23" s="26"/>
      <c r="C23" s="27"/>
      <c r="D23" s="28"/>
      <c r="E23" s="28"/>
      <c r="F23" s="29" t="n">
        <f aca="false">(E23-D23)*24</f>
        <v>0</v>
      </c>
      <c r="G23" s="30" t="str">
        <f aca="false">IF(F23&gt;18,"259",IF(F23&gt;12,"167",IF(F23&gt;=5,"108","0")))</f>
        <v>0</v>
      </c>
      <c r="H23" s="30" t="str">
        <f aca="false">IF(I23="x",IF(G23="108",0.1*G23,IF(I23="x",IF(G23="167",0.1*G23,IF(I23="x",IF(G23="259",0.15*G23))))),"0")</f>
        <v>0</v>
      </c>
      <c r="I23" s="31"/>
      <c r="J23" s="32" t="str">
        <f aca="false">IF(F23&gt;=5,G23-IF(F23&gt;18,(G23*I23*0.25),IF(F23&gt;12,(IF(I23&gt;2,G23,(G23*I23*0.35))),(IF(I23&gt;1,G23,(G23*I23*0.7))))),"")</f>
        <v/>
      </c>
      <c r="K23" s="32"/>
      <c r="L23" s="32"/>
      <c r="M23" s="33"/>
      <c r="N23" s="33"/>
      <c r="O23" s="34"/>
      <c r="P23" s="34"/>
      <c r="Q23" s="35" t="str">
        <f aca="false">IF(AND(J23="",M23="",O23=""),"",SUM(J23:P23))</f>
        <v/>
      </c>
      <c r="R23" s="36"/>
    </row>
    <row r="24" s="39" customFormat="true" ht="18" hidden="false" customHeight="true" outlineLevel="0" collapsed="false">
      <c r="B24" s="26"/>
      <c r="C24" s="27"/>
      <c r="D24" s="28"/>
      <c r="E24" s="28"/>
      <c r="F24" s="29" t="n">
        <f aca="false">(E24-D24)*24</f>
        <v>0</v>
      </c>
      <c r="G24" s="30" t="str">
        <f aca="false">IF(F24&gt;18,"259",IF(F24&gt;12,"167",IF(F24&gt;=5,"108","0")))</f>
        <v>0</v>
      </c>
      <c r="H24" s="30" t="str">
        <f aca="false">IF(I24="x",IF(G24="108",0.1*G24,IF(I24="x",IF(G24="167",0.1*G24,IF(I24="x",IF(G24="259",0.15*G24))))),"0")</f>
        <v>0</v>
      </c>
      <c r="I24" s="31"/>
      <c r="J24" s="32" t="str">
        <f aca="false">IF(F24&gt;=5,G24-IF(F24&gt;18,(G24*I24*0.25),IF(F24&gt;12,(IF(I24&gt;2,G24,(G24*I24*0.35))),(IF(I24&gt;1,G24,(G24*I24*0.7))))),"")</f>
        <v/>
      </c>
      <c r="K24" s="32"/>
      <c r="L24" s="32"/>
      <c r="M24" s="33"/>
      <c r="N24" s="33"/>
      <c r="O24" s="34"/>
      <c r="P24" s="34"/>
      <c r="Q24" s="35" t="str">
        <f aca="false">IF(AND(J24="",M24="",O24=""),"",SUM(J24:P24))</f>
        <v/>
      </c>
      <c r="R24" s="36"/>
    </row>
    <row r="25" s="39" customFormat="true" ht="18" hidden="false" customHeight="true" outlineLevel="0" collapsed="false">
      <c r="B25" s="26"/>
      <c r="C25" s="27"/>
      <c r="D25" s="28"/>
      <c r="E25" s="28"/>
      <c r="F25" s="29" t="n">
        <f aca="false">(E25-D25)*24</f>
        <v>0</v>
      </c>
      <c r="G25" s="30" t="str">
        <f aca="false">IF(F25&gt;18,"259",IF(F25&gt;12,"167",IF(F25&gt;=5,"108","0")))</f>
        <v>0</v>
      </c>
      <c r="H25" s="30" t="str">
        <f aca="false">IF(I25="x",IF(G25="108",0.1*G25,IF(I25="x",IF(G25="167",0.1*G25,IF(I25="x",IF(G25="259",0.15*G25))))),"0")</f>
        <v>0</v>
      </c>
      <c r="I25" s="31"/>
      <c r="J25" s="32" t="str">
        <f aca="false">IF(F25&gt;=5,G25-IF(F25&gt;18,(G25*I25*0.25),IF(F25&gt;12,(IF(I25&gt;2,G25,(G25*I25*0.35))),(IF(I25&gt;1,G25,(G25*I25*0.7))))),"")</f>
        <v/>
      </c>
      <c r="K25" s="32"/>
      <c r="L25" s="32"/>
      <c r="M25" s="34"/>
      <c r="N25" s="34"/>
      <c r="O25" s="34"/>
      <c r="P25" s="34"/>
      <c r="Q25" s="35" t="str">
        <f aca="false">IF(AND(J25="",M25="",O25=""),"",SUM(J25:P25))</f>
        <v/>
      </c>
      <c r="R25" s="36"/>
    </row>
    <row r="26" s="39" customFormat="true" ht="18" hidden="false" customHeight="true" outlineLevel="0" collapsed="false">
      <c r="B26" s="26"/>
      <c r="C26" s="27"/>
      <c r="D26" s="28"/>
      <c r="E26" s="28"/>
      <c r="F26" s="29" t="n">
        <f aca="false">(E26-D26)*24</f>
        <v>0</v>
      </c>
      <c r="G26" s="30" t="str">
        <f aca="false">IF(F26&gt;18,"259",IF(F26&gt;12,"167",IF(F26&gt;=5,"108","0")))</f>
        <v>0</v>
      </c>
      <c r="H26" s="30" t="str">
        <f aca="false">IF(I26="x",IF(G26="108",0.1*G26,IF(I26="x",IF(G26="167",0.1*G26,IF(I26="x",IF(G26="259",0.15*G26))))),"0")</f>
        <v>0</v>
      </c>
      <c r="I26" s="31"/>
      <c r="J26" s="32" t="str">
        <f aca="false">IF(F26&gt;=5,G26-IF(F26&gt;18,(G26*I26*0.25),IF(F26&gt;12,(IF(I26&gt;2,G26,(G26*I26*0.35))),(IF(I26&gt;1,G26,(G26*I26*0.7))))),"")</f>
        <v/>
      </c>
      <c r="K26" s="32"/>
      <c r="L26" s="32"/>
      <c r="M26" s="34"/>
      <c r="N26" s="34"/>
      <c r="O26" s="34"/>
      <c r="P26" s="34"/>
      <c r="Q26" s="35" t="str">
        <f aca="false">IF(AND(J26="",M26="",O26=""),"",SUM(J26:P26))</f>
        <v/>
      </c>
      <c r="R26" s="36"/>
    </row>
    <row r="27" s="39" customFormat="true" ht="18" hidden="false" customHeight="true" outlineLevel="0" collapsed="false">
      <c r="B27" s="26"/>
      <c r="C27" s="27"/>
      <c r="D27" s="28"/>
      <c r="E27" s="28"/>
      <c r="F27" s="29" t="n">
        <f aca="false">(E27-D27)*24</f>
        <v>0</v>
      </c>
      <c r="G27" s="30" t="str">
        <f aca="false">IF(F27&gt;18,"259",IF(F27&gt;12,"167",IF(F27&gt;=5,"108","0")))</f>
        <v>0</v>
      </c>
      <c r="H27" s="30" t="str">
        <f aca="false">IF(I27="x",IF(G27="108",0.1*G27,IF(I27="x",IF(G27="167",0.1*G27,IF(I27="x",IF(G27="259",0.15*G27))))),"0")</f>
        <v>0</v>
      </c>
      <c r="I27" s="31"/>
      <c r="J27" s="32" t="str">
        <f aca="false">IF(F27&gt;=5,G27-IF(F27&gt;18,(G27*I27*0.25),IF(F27&gt;12,(IF(I27&gt;2,G27,(G27*I27*0.35))),(IF(I27&gt;1,G27,(G27*I27*0.7))))),"")</f>
        <v/>
      </c>
      <c r="K27" s="32"/>
      <c r="L27" s="32"/>
      <c r="M27" s="34"/>
      <c r="N27" s="34"/>
      <c r="O27" s="34"/>
      <c r="P27" s="34"/>
      <c r="Q27" s="35" t="str">
        <f aca="false">IF(AND(J27="",M27="",O27=""),"",SUM(J27:P27))</f>
        <v/>
      </c>
      <c r="R27" s="36"/>
    </row>
    <row r="28" s="39" customFormat="true" ht="18" hidden="false" customHeight="true" outlineLevel="0" collapsed="false">
      <c r="B28" s="26"/>
      <c r="C28" s="27"/>
      <c r="D28" s="28"/>
      <c r="E28" s="28"/>
      <c r="F28" s="29" t="n">
        <f aca="false">(E28-D28)*24</f>
        <v>0</v>
      </c>
      <c r="G28" s="30" t="str">
        <f aca="false">IF(F28&gt;18,"259",IF(F28&gt;12,"167",IF(F28&gt;=5,"108","0")))</f>
        <v>0</v>
      </c>
      <c r="H28" s="30" t="str">
        <f aca="false">IF(I28="x",IF(G28="108",0.1*G28,IF(I28="x",IF(G28="167",0.1*G28,IF(I28="x",IF(G28="259",0.15*G28))))),"0")</f>
        <v>0</v>
      </c>
      <c r="I28" s="31"/>
      <c r="J28" s="32" t="str">
        <f aca="false">IF(F28&gt;=5,G28-IF(F28&gt;18,(G28*I28*0.25),IF(F28&gt;12,(IF(I28&gt;2,G28,(G28*I28*0.35))),(IF(I28&gt;1,G28,(G28*I28*0.7))))),"")</f>
        <v/>
      </c>
      <c r="K28" s="32"/>
      <c r="L28" s="32"/>
      <c r="M28" s="34"/>
      <c r="N28" s="34"/>
      <c r="O28" s="34"/>
      <c r="P28" s="34"/>
      <c r="Q28" s="35" t="str">
        <f aca="false">IF(AND(J28="",M28="",O28=""),"",SUM(J28:P28))</f>
        <v/>
      </c>
      <c r="R28" s="36"/>
    </row>
    <row r="29" s="39" customFormat="true" ht="18" hidden="false" customHeight="true" outlineLevel="0" collapsed="false">
      <c r="B29" s="26"/>
      <c r="C29" s="27"/>
      <c r="D29" s="28"/>
      <c r="E29" s="28"/>
      <c r="F29" s="29" t="n">
        <f aca="false">(E29-D29)*24</f>
        <v>0</v>
      </c>
      <c r="G29" s="30" t="str">
        <f aca="false">IF(F29&gt;18,"259",IF(F29&gt;12,"167",IF(F29&gt;=5,"108","0")))</f>
        <v>0</v>
      </c>
      <c r="H29" s="30" t="str">
        <f aca="false">IF(I29="x",IF(G29="108",0.1*G29,IF(I29="x",IF(G29="167",0.1*G29,IF(I29="x",IF(G29="259",0.15*G29))))),"0")</f>
        <v>0</v>
      </c>
      <c r="I29" s="31"/>
      <c r="J29" s="32" t="str">
        <f aca="false">IF(F29&gt;=5,G29-IF(F29&gt;18,(G29*I29*0.25),IF(F29&gt;12,(IF(I29&gt;2,G29,(G29*I29*0.35))),(IF(I29&gt;1,G29,(G29*I29*0.7))))),"")</f>
        <v/>
      </c>
      <c r="K29" s="32"/>
      <c r="L29" s="32"/>
      <c r="M29" s="34"/>
      <c r="N29" s="34"/>
      <c r="O29" s="34"/>
      <c r="P29" s="34"/>
      <c r="Q29" s="35" t="str">
        <f aca="false">IF(AND(J29="",M29="",O29=""),"",SUM(J29:P29))</f>
        <v/>
      </c>
      <c r="R29" s="36"/>
    </row>
    <row r="30" s="39" customFormat="true" ht="18" hidden="false" customHeight="true" outlineLevel="0" collapsed="false">
      <c r="B30" s="26"/>
      <c r="C30" s="27"/>
      <c r="D30" s="28"/>
      <c r="E30" s="28"/>
      <c r="F30" s="29" t="n">
        <f aca="false">(E30-D30)*24</f>
        <v>0</v>
      </c>
      <c r="G30" s="30" t="str">
        <f aca="false">IF(F30&gt;18,"259",IF(F30&gt;12,"167",IF(F30&gt;=5,"108","0")))</f>
        <v>0</v>
      </c>
      <c r="H30" s="30" t="str">
        <f aca="false">IF(I30="x",IF(G30="108",0.1*G30,IF(I30="x",IF(G30="167",0.1*G30,IF(I30="x",IF(G30="259",0.15*G30))))),"0")</f>
        <v>0</v>
      </c>
      <c r="I30" s="31"/>
      <c r="J30" s="32" t="str">
        <f aca="false">IF(F30&gt;=5,G30-IF(F30&gt;18,(G30*I30*0.25),IF(F30&gt;12,(IF(I30&gt;2,G30,(G30*I30*0.35))),(IF(I30&gt;1,G30,(G30*I30*0.7))))),"")</f>
        <v/>
      </c>
      <c r="K30" s="32"/>
      <c r="L30" s="32"/>
      <c r="M30" s="34"/>
      <c r="N30" s="34"/>
      <c r="O30" s="34"/>
      <c r="P30" s="34"/>
      <c r="Q30" s="35" t="str">
        <f aca="false">IF(AND(J30="",M30="",O30=""),"",SUM(J30:P30))</f>
        <v/>
      </c>
      <c r="R30" s="36"/>
    </row>
    <row r="31" s="39" customFormat="true" ht="18" hidden="false" customHeight="true" outlineLevel="0" collapsed="false">
      <c r="B31" s="26"/>
      <c r="C31" s="27"/>
      <c r="D31" s="28"/>
      <c r="E31" s="28"/>
      <c r="F31" s="29" t="n">
        <f aca="false">(E31-D31)*24</f>
        <v>0</v>
      </c>
      <c r="G31" s="30" t="str">
        <f aca="false">IF(F31&gt;18,"259",IF(F31&gt;12,"167",IF(F31&gt;=5,"108","0")))</f>
        <v>0</v>
      </c>
      <c r="H31" s="30" t="str">
        <f aca="false">IF(I31="x",IF(G31="108",0.1*G31,IF(I31="x",IF(G31="167",0.1*G31,IF(I31="x",IF(G31="259",0.15*G31))))),"0")</f>
        <v>0</v>
      </c>
      <c r="I31" s="31"/>
      <c r="J31" s="32" t="str">
        <f aca="false">IF(F31&gt;=5,G31-IF(F31&gt;18,(G31*I31*0.25),IF(F31&gt;12,(IF(I31&gt;2,G31,(G31*I31*0.35))),(IF(I31&gt;1,G31,(G31*I31*0.7))))),"")</f>
        <v/>
      </c>
      <c r="K31" s="32"/>
      <c r="L31" s="32"/>
      <c r="M31" s="34"/>
      <c r="N31" s="34"/>
      <c r="O31" s="34"/>
      <c r="P31" s="34"/>
      <c r="Q31" s="35" t="str">
        <f aca="false">IF(AND(J31="",M31="",O31=""),"",SUM(J31:P31))</f>
        <v/>
      </c>
      <c r="R31" s="36"/>
    </row>
    <row r="32" s="39" customFormat="true" ht="18" hidden="false" customHeight="true" outlineLevel="0" collapsed="false">
      <c r="B32" s="26"/>
      <c r="C32" s="27"/>
      <c r="D32" s="28"/>
      <c r="E32" s="28"/>
      <c r="F32" s="29" t="n">
        <f aca="false">(E32-D32)*24</f>
        <v>0</v>
      </c>
      <c r="G32" s="30" t="str">
        <f aca="false">IF(F32&gt;18,"259",IF(F32&gt;12,"167",IF(F32&gt;=5,"108","0")))</f>
        <v>0</v>
      </c>
      <c r="H32" s="30" t="str">
        <f aca="false">IF(I32="x",IF(G32="108",0.1*G32,IF(I32="x",IF(G32="167",0.1*G32,IF(I32="x",IF(G32="259",0.15*G32))))),"0")</f>
        <v>0</v>
      </c>
      <c r="I32" s="31"/>
      <c r="J32" s="32" t="str">
        <f aca="false">IF(F32&gt;=5,G32-IF(F32&gt;18,(G32*I32*0.25),IF(F32&gt;12,(IF(I32&gt;2,G32,(G32*I32*0.35))),(IF(I32&gt;1,G32,(G32*I32*0.7))))),"")</f>
        <v/>
      </c>
      <c r="K32" s="32"/>
      <c r="L32" s="32"/>
      <c r="M32" s="34"/>
      <c r="N32" s="34"/>
      <c r="O32" s="34"/>
      <c r="P32" s="34"/>
      <c r="Q32" s="35" t="str">
        <f aca="false">IF(AND(J32="",M32="",O32=""),"",SUM(J32:P32))</f>
        <v/>
      </c>
      <c r="R32" s="36"/>
    </row>
    <row r="33" s="39" customFormat="true" ht="18" hidden="false" customHeight="true" outlineLevel="0" collapsed="false">
      <c r="B33" s="26"/>
      <c r="C33" s="27"/>
      <c r="D33" s="28"/>
      <c r="E33" s="28"/>
      <c r="F33" s="29" t="n">
        <f aca="false">(E33-D33)*24</f>
        <v>0</v>
      </c>
      <c r="G33" s="30" t="str">
        <f aca="false">IF(F33&gt;18,"259",IF(F33&gt;12,"167",IF(F33&gt;=5,"108","0")))</f>
        <v>0</v>
      </c>
      <c r="H33" s="30" t="str">
        <f aca="false">IF(I33="x",IF(G33="108",0.1*G33,IF(I33="x",IF(G33="167",0.1*G33,IF(I33="x",IF(G33="259",0.15*G33))))),"0")</f>
        <v>0</v>
      </c>
      <c r="I33" s="31"/>
      <c r="J33" s="32" t="str">
        <f aca="false">IF(F33&gt;=5,G33-IF(F33&gt;18,(G33*I33*0.25),IF(F33&gt;12,(IF(I33&gt;2,G33,(G33*I33*0.35))),(IF(I33&gt;1,G33,(G33*I33*0.7))))),"")</f>
        <v/>
      </c>
      <c r="K33" s="32"/>
      <c r="L33" s="32"/>
      <c r="M33" s="34"/>
      <c r="N33" s="34"/>
      <c r="O33" s="34"/>
      <c r="P33" s="34"/>
      <c r="Q33" s="35" t="str">
        <f aca="false">IF(AND(J33="",M33="",O33=""),"",SUM(J33:P33))</f>
        <v/>
      </c>
      <c r="R33" s="36"/>
    </row>
    <row r="34" s="39" customFormat="true" ht="18" hidden="false" customHeight="true" outlineLevel="0" collapsed="false">
      <c r="B34" s="26"/>
      <c r="C34" s="27"/>
      <c r="D34" s="28"/>
      <c r="E34" s="28"/>
      <c r="F34" s="29" t="n">
        <f aca="false">(E34-D34)*24</f>
        <v>0</v>
      </c>
      <c r="G34" s="30" t="str">
        <f aca="false">IF(F34&gt;18,"259",IF(F34&gt;12,"167",IF(F34&gt;=5,"108","0")))</f>
        <v>0</v>
      </c>
      <c r="H34" s="30" t="str">
        <f aca="false">IF(I34="x",IF(G34="108",0.1*G34,IF(I34="x",IF(G34="167",0.1*G34,IF(I34="x",IF(G34="259",0.15*G34))))),"0")</f>
        <v>0</v>
      </c>
      <c r="I34" s="31"/>
      <c r="J34" s="32" t="str">
        <f aca="false">IF(F34&gt;=5,G34-IF(F34&gt;18,(G34*I34*0.25),IF(F34&gt;12,(IF(I34&gt;2,G34,(G34*I34*0.35))),(IF(I34&gt;1,G34,(G34*I34*0.7))))),"")</f>
        <v/>
      </c>
      <c r="K34" s="32"/>
      <c r="L34" s="32"/>
      <c r="M34" s="34"/>
      <c r="N34" s="34"/>
      <c r="O34" s="34"/>
      <c r="P34" s="34"/>
      <c r="Q34" s="35" t="str">
        <f aca="false">IF(AND(J34="",M34="",O34=""),"",SUM(J34:P34))</f>
        <v/>
      </c>
      <c r="R34" s="36"/>
    </row>
    <row r="35" s="39" customFormat="true" ht="18" hidden="false" customHeight="true" outlineLevel="0" collapsed="false">
      <c r="B35" s="26"/>
      <c r="C35" s="27"/>
      <c r="D35" s="28"/>
      <c r="E35" s="28"/>
      <c r="F35" s="29" t="n">
        <f aca="false">(E35-D35)*24</f>
        <v>0</v>
      </c>
      <c r="G35" s="30" t="str">
        <f aca="false">IF(F35&gt;18,"259",IF(F35&gt;12,"167",IF(F35&gt;=5,"108","0")))</f>
        <v>0</v>
      </c>
      <c r="H35" s="30" t="str">
        <f aca="false">IF(I35="x",IF(G35="108",0.1*G35,IF(I35="x",IF(G35="167",0.1*G35,IF(I35="x",IF(G35="259",0.15*G35))))),"0")</f>
        <v>0</v>
      </c>
      <c r="I35" s="31"/>
      <c r="J35" s="32" t="str">
        <f aca="false">IF(F35&gt;=5,G35-IF(F35&gt;18,(G35*I35*0.25),IF(F35&gt;12,(IF(I35&gt;2,G35,(G35*I35*0.35))),(IF(I35&gt;1,G35,(G35*I35*0.7))))),"")</f>
        <v/>
      </c>
      <c r="K35" s="32"/>
      <c r="L35" s="32"/>
      <c r="M35" s="34"/>
      <c r="N35" s="34"/>
      <c r="O35" s="34"/>
      <c r="P35" s="34"/>
      <c r="Q35" s="35" t="str">
        <f aca="false">IF(AND(J35="",M35="",O35=""),"",SUM(J35:P35))</f>
        <v/>
      </c>
      <c r="R35" s="36"/>
    </row>
    <row r="36" s="39" customFormat="true" ht="18" hidden="false" customHeight="true" outlineLevel="0" collapsed="false">
      <c r="B36" s="26"/>
      <c r="C36" s="27"/>
      <c r="D36" s="28"/>
      <c r="E36" s="28"/>
      <c r="F36" s="29" t="n">
        <f aca="false">(E36-D36)*24</f>
        <v>0</v>
      </c>
      <c r="G36" s="30" t="str">
        <f aca="false">IF(F36&gt;18,"259",IF(F36&gt;12,"167",IF(F36&gt;=5,"108","0")))</f>
        <v>0</v>
      </c>
      <c r="H36" s="30" t="str">
        <f aca="false">IF(I36="x",IF(G36="108",0.1*G36,IF(I36="x",IF(G36="167",0.1*G36,IF(I36="x",IF(G36="259",0.15*G36))))),"0")</f>
        <v>0</v>
      </c>
      <c r="I36" s="31"/>
      <c r="J36" s="32" t="str">
        <f aca="false">IF(F36&gt;=5,G36-IF(F36&gt;18,(G36*I36*0.25),IF(F36&gt;12,(IF(I36&gt;2,G36,(G36*I36*0.35))),(IF(I36&gt;1,G36,(G36*I36*0.7))))),"")</f>
        <v/>
      </c>
      <c r="K36" s="32"/>
      <c r="L36" s="32"/>
      <c r="M36" s="34"/>
      <c r="N36" s="34"/>
      <c r="O36" s="34"/>
      <c r="P36" s="34"/>
      <c r="Q36" s="35" t="str">
        <f aca="false">IF(AND(J36="",M36="",O36=""),"",SUM(J36:P36))</f>
        <v/>
      </c>
      <c r="R36" s="36"/>
    </row>
    <row r="37" s="39" customFormat="true" ht="18" hidden="false" customHeight="true" outlineLevel="0" collapsed="false">
      <c r="B37" s="26"/>
      <c r="C37" s="27"/>
      <c r="D37" s="28"/>
      <c r="E37" s="28"/>
      <c r="F37" s="29" t="n">
        <f aca="false">(E37-D37)*24</f>
        <v>0</v>
      </c>
      <c r="G37" s="30" t="str">
        <f aca="false">IF(F37&gt;18,"259",IF(F37&gt;12,"167",IF(F37&gt;=5,"108","0")))</f>
        <v>0</v>
      </c>
      <c r="H37" s="30" t="str">
        <f aca="false">IF(I37="x",IF(G37="108",0.1*G37,IF(I37="x",IF(G37="167",0.1*G37,IF(I37="x",IF(G37="259",0.15*G37))))),"0")</f>
        <v>0</v>
      </c>
      <c r="I37" s="31"/>
      <c r="J37" s="32" t="str">
        <f aca="false">IF(F37&gt;=5,G37-IF(F37&gt;18,(G37*I37*0.25),IF(F37&gt;12,(IF(I37&gt;2,G37,(G37*I37*0.35))),(IF(I37&gt;1,G37,(G37*I37*0.7))))),"")</f>
        <v/>
      </c>
      <c r="K37" s="32"/>
      <c r="L37" s="32"/>
      <c r="M37" s="34"/>
      <c r="N37" s="34"/>
      <c r="O37" s="34"/>
      <c r="P37" s="34"/>
      <c r="Q37" s="35" t="str">
        <f aca="false">IF(AND(J37="",M37="",O37=""),"",SUM(J37:P37))</f>
        <v/>
      </c>
      <c r="R37" s="36"/>
    </row>
    <row r="38" s="39" customFormat="true" ht="18" hidden="false" customHeight="true" outlineLevel="0" collapsed="false">
      <c r="B38" s="26"/>
      <c r="C38" s="27"/>
      <c r="D38" s="28"/>
      <c r="E38" s="28"/>
      <c r="F38" s="29" t="n">
        <f aca="false">(E38-D38)*24</f>
        <v>0</v>
      </c>
      <c r="G38" s="30" t="str">
        <f aca="false">IF(F38&gt;18,"259",IF(F38&gt;12,"167",IF(F38&gt;=5,"108","0")))</f>
        <v>0</v>
      </c>
      <c r="H38" s="30" t="str">
        <f aca="false">IF(I38="x",IF(G38="108",0.1*G38,IF(I38="x",IF(G38="167",0.1*G38,IF(I38="x",IF(G38="259",0.15*G38))))),"0")</f>
        <v>0</v>
      </c>
      <c r="I38" s="31"/>
      <c r="J38" s="32" t="str">
        <f aca="false">IF(F38&gt;=5,G38-IF(F38&gt;18,(G38*I38*0.25),IF(F38&gt;12,(IF(I38&gt;2,G38,(G38*I38*0.35))),(IF(I38&gt;1,G38,(G38*I38*0.7))))),"")</f>
        <v/>
      </c>
      <c r="K38" s="32"/>
      <c r="L38" s="32"/>
      <c r="M38" s="34"/>
      <c r="N38" s="34"/>
      <c r="O38" s="34"/>
      <c r="P38" s="34"/>
      <c r="Q38" s="35" t="str">
        <f aca="false">IF(AND(J38="",M38="",O38=""),"",SUM(J38:P38))</f>
        <v/>
      </c>
      <c r="R38" s="36"/>
    </row>
    <row r="39" s="39" customFormat="true" ht="18" hidden="false" customHeight="true" outlineLevel="0" collapsed="false">
      <c r="B39" s="26"/>
      <c r="C39" s="27"/>
      <c r="D39" s="28"/>
      <c r="E39" s="28"/>
      <c r="F39" s="29" t="n">
        <f aca="false">(E39-D39)*24</f>
        <v>0</v>
      </c>
      <c r="G39" s="30" t="str">
        <f aca="false">IF(F39&gt;18,"259",IF(F39&gt;12,"167",IF(F39&gt;=5,"108","0")))</f>
        <v>0</v>
      </c>
      <c r="H39" s="30" t="str">
        <f aca="false">IF(I39="x",IF(G39="108",0.1*G39,IF(I39="x",IF(G39="167",0.1*G39,IF(I39="x",IF(G39="259",0.15*G39))))),"0")</f>
        <v>0</v>
      </c>
      <c r="I39" s="31"/>
      <c r="J39" s="32" t="str">
        <f aca="false">IF(F39&gt;=5,G39-IF(F39&gt;18,(G39*I39*0.25),IF(F39&gt;12,(IF(I39&gt;2,G39,(G39*I39*0.35))),(IF(I39&gt;1,G39,(G39*I39*0.7))))),"")</f>
        <v/>
      </c>
      <c r="K39" s="32"/>
      <c r="L39" s="32"/>
      <c r="M39" s="34"/>
      <c r="N39" s="34"/>
      <c r="O39" s="34"/>
      <c r="P39" s="34"/>
      <c r="Q39" s="35" t="str">
        <f aca="false">IF(AND(J39="",M39="",O39=""),"",SUM(J39:P39))</f>
        <v/>
      </c>
      <c r="R39" s="36"/>
    </row>
    <row r="40" s="39" customFormat="true" ht="18" hidden="false" customHeight="true" outlineLevel="0" collapsed="false">
      <c r="B40" s="26"/>
      <c r="C40" s="27"/>
      <c r="D40" s="28"/>
      <c r="E40" s="28"/>
      <c r="F40" s="29" t="n">
        <f aca="false">(E40-D40)*24</f>
        <v>0</v>
      </c>
      <c r="G40" s="30" t="str">
        <f aca="false">IF(F40&gt;18,"259",IF(F40&gt;12,"167",IF(F40&gt;=5,"108","0")))</f>
        <v>0</v>
      </c>
      <c r="H40" s="30" t="str">
        <f aca="false">IF(I40="x",IF(G40="108",0.1*G40,IF(I40="x",IF(G40="167",0.1*G40,IF(I40="x",IF(G40="259",0.15*G40))))),"0")</f>
        <v>0</v>
      </c>
      <c r="I40" s="31"/>
      <c r="J40" s="32" t="str">
        <f aca="false">IF(F40&gt;=5,G40-IF(F40&gt;18,(G40*I40*0.25),IF(F40&gt;12,(IF(I40&gt;2,G40,(G40*I40*0.35))),(IF(I40&gt;1,G40,(G40*I40*0.7))))),"")</f>
        <v/>
      </c>
      <c r="K40" s="32"/>
      <c r="L40" s="32"/>
      <c r="M40" s="34"/>
      <c r="N40" s="34"/>
      <c r="O40" s="34"/>
      <c r="P40" s="34"/>
      <c r="Q40" s="35" t="str">
        <f aca="false">IF(AND(J40="",M40="",O40=""),"",SUM(J40:P40))</f>
        <v/>
      </c>
      <c r="R40" s="36"/>
    </row>
    <row r="41" s="39" customFormat="true" ht="18" hidden="false" customHeight="true" outlineLevel="0" collapsed="false">
      <c r="B41" s="26"/>
      <c r="C41" s="27"/>
      <c r="D41" s="28"/>
      <c r="E41" s="28"/>
      <c r="F41" s="29" t="n">
        <f aca="false">(E41-D41)*24</f>
        <v>0</v>
      </c>
      <c r="G41" s="30" t="str">
        <f aca="false">IF(F41&gt;18,"259",IF(F41&gt;12,"167",IF(F41&gt;=5,"108","0")))</f>
        <v>0</v>
      </c>
      <c r="H41" s="30" t="str">
        <f aca="false">IF(I41="x",IF(G41="108",0.1*G41,IF(I41="x",IF(G41="167",0.1*G41,IF(I41="x",IF(G41="259",0.15*G41))))),"0")</f>
        <v>0</v>
      </c>
      <c r="I41" s="31"/>
      <c r="J41" s="32" t="str">
        <f aca="false">IF(F41&gt;=5,G41-IF(F41&gt;18,(G41*I41*0.25),IF(F41&gt;12,(IF(I41&gt;2,G41,(G41*I41*0.35))),(IF(I41&gt;1,G41,(G41*I41*0.7))))),"")</f>
        <v/>
      </c>
      <c r="K41" s="32"/>
      <c r="L41" s="32"/>
      <c r="M41" s="34"/>
      <c r="N41" s="34"/>
      <c r="O41" s="34"/>
      <c r="P41" s="34"/>
      <c r="Q41" s="35" t="str">
        <f aca="false">IF(AND(J41="",M41="",O41=""),"",SUM(J41:P41))</f>
        <v/>
      </c>
      <c r="R41" s="36"/>
    </row>
    <row r="42" s="39" customFormat="true" ht="18" hidden="false" customHeight="true" outlineLevel="0" collapsed="false">
      <c r="B42" s="26"/>
      <c r="C42" s="27"/>
      <c r="D42" s="28"/>
      <c r="E42" s="28"/>
      <c r="F42" s="29" t="n">
        <f aca="false">(E42-D42)*24</f>
        <v>0</v>
      </c>
      <c r="G42" s="30" t="str">
        <f aca="false">IF(F42&gt;18,"259",IF(F42&gt;12,"167",IF(F42&gt;=5,"108","0")))</f>
        <v>0</v>
      </c>
      <c r="H42" s="30" t="str">
        <f aca="false">IF(I42="x",IF(G42="108",0.1*G42,IF(I42="x",IF(G42="167",0.1*G42,IF(I42="x",IF(G42="259",0.15*G42))))),"0")</f>
        <v>0</v>
      </c>
      <c r="I42" s="31"/>
      <c r="J42" s="32" t="str">
        <f aca="false">IF(F42&gt;=5,G42-IF(F42&gt;18,(G42*I42*0.25),IF(F42&gt;12,(IF(I42&gt;2,G42,(G42*I42*0.35))),(IF(I42&gt;1,G42,(G42*I42*0.7))))),"")</f>
        <v/>
      </c>
      <c r="K42" s="32"/>
      <c r="L42" s="32"/>
      <c r="M42" s="34"/>
      <c r="N42" s="34"/>
      <c r="O42" s="34"/>
      <c r="P42" s="34"/>
      <c r="Q42" s="35" t="str">
        <f aca="false">IF(AND(J42="",M42="",O42=""),"",SUM(J42:P42))</f>
        <v/>
      </c>
      <c r="R42" s="36"/>
    </row>
    <row r="43" s="42" customFormat="true" ht="19.5" hidden="false" customHeight="true" outlineLevel="0" collapsed="false">
      <c r="B43" s="43"/>
      <c r="C43" s="44"/>
      <c r="D43" s="43"/>
      <c r="E43" s="45" t="s">
        <v>33</v>
      </c>
      <c r="F43" s="45"/>
      <c r="G43" s="45"/>
      <c r="H43" s="45"/>
      <c r="I43" s="45"/>
      <c r="J43" s="46" t="n">
        <f aca="false">CEILING(SUM(J13:L42),1)</f>
        <v>944</v>
      </c>
      <c r="K43" s="46"/>
      <c r="L43" s="46"/>
      <c r="M43" s="46" t="n">
        <f aca="false">SUM(M13:N42)</f>
        <v>0</v>
      </c>
      <c r="N43" s="46"/>
      <c r="O43" s="46" t="n">
        <f aca="false">SUM(O13:P42)</f>
        <v>0</v>
      </c>
      <c r="P43" s="46"/>
      <c r="Q43" s="47"/>
      <c r="R43" s="48" t="n">
        <f aca="false">SUM(J43:P43)</f>
        <v>944</v>
      </c>
    </row>
    <row r="44" customFormat="false" ht="23.25" hidden="false" customHeight="true" outlineLevel="0" collapsed="false">
      <c r="B44" s="49"/>
      <c r="C44" s="50"/>
      <c r="D44" s="49"/>
      <c r="E44" s="49"/>
      <c r="F44" s="49"/>
      <c r="G44" s="49"/>
      <c r="H44" s="49"/>
      <c r="I44" s="51"/>
      <c r="J44" s="51"/>
      <c r="K44" s="49"/>
      <c r="L44" s="49"/>
      <c r="M44" s="52"/>
      <c r="N44" s="52"/>
      <c r="O44" s="53"/>
      <c r="P44" s="53"/>
      <c r="Q44" s="53"/>
      <c r="R44" s="54" t="s">
        <v>34</v>
      </c>
    </row>
    <row r="45" customFormat="false" ht="18.55" hidden="false" customHeight="false" outlineLevel="0" collapsed="false">
      <c r="G45" s="19"/>
    </row>
    <row r="46" customFormat="false" ht="18.55" hidden="false" customHeight="false" outlineLevel="0" collapsed="false">
      <c r="G46" s="19"/>
    </row>
    <row r="47" s="3" customFormat="true" ht="18.55" hidden="false" customHeight="false" outlineLevel="0" collapsed="false">
      <c r="B47" s="9"/>
      <c r="C47" s="55"/>
      <c r="E47" s="56"/>
      <c r="F47" s="56"/>
      <c r="G47" s="56"/>
      <c r="H47" s="56"/>
      <c r="I47" s="56"/>
      <c r="J47" s="56"/>
      <c r="K47" s="9"/>
      <c r="L47" s="56"/>
      <c r="M47" s="56"/>
      <c r="N47" s="56"/>
      <c r="O47" s="9"/>
      <c r="P47" s="57"/>
      <c r="Q47" s="56"/>
      <c r="T47" s="2"/>
    </row>
    <row r="48" s="58" customFormat="true" ht="18.55" hidden="false" customHeight="false" outlineLevel="0" collapsed="false">
      <c r="B48" s="14"/>
      <c r="C48" s="16" t="s">
        <v>14</v>
      </c>
      <c r="E48" s="16" t="s">
        <v>35</v>
      </c>
      <c r="F48" s="16"/>
      <c r="G48" s="16"/>
      <c r="H48" s="16"/>
      <c r="I48" s="16"/>
      <c r="J48" s="16"/>
      <c r="K48" s="15"/>
      <c r="L48" s="16" t="s">
        <v>36</v>
      </c>
      <c r="M48" s="16"/>
      <c r="N48" s="16"/>
      <c r="O48" s="15"/>
      <c r="P48" s="16" t="s">
        <v>37</v>
      </c>
      <c r="Q48" s="16"/>
      <c r="T48" s="2"/>
      <c r="U48" s="3"/>
    </row>
    <row r="49" s="58" customFormat="true" ht="18.55" hidden="false" customHeight="false" outlineLevel="0" collapsed="false">
      <c r="B49" s="14"/>
      <c r="C49" s="14"/>
      <c r="E49" s="14"/>
      <c r="F49" s="14"/>
      <c r="G49" s="14"/>
      <c r="H49" s="14"/>
      <c r="I49" s="14"/>
      <c r="J49" s="14"/>
      <c r="K49" s="14"/>
      <c r="L49" s="14"/>
      <c r="N49" s="14"/>
      <c r="O49" s="14"/>
      <c r="P49" s="14"/>
      <c r="Q49" s="14"/>
      <c r="T49" s="2"/>
      <c r="U49" s="3"/>
    </row>
    <row r="50" s="58" customFormat="true" ht="18.55" hidden="false" customHeight="false" outlineLevel="0" collapsed="false">
      <c r="B50" s="14"/>
      <c r="C50" s="14"/>
      <c r="E50" s="14"/>
      <c r="F50" s="14"/>
      <c r="G50" s="14"/>
      <c r="H50" s="14"/>
      <c r="I50" s="14"/>
      <c r="J50" s="14"/>
      <c r="K50" s="14"/>
      <c r="L50" s="14"/>
      <c r="N50" s="14"/>
      <c r="O50" s="14"/>
      <c r="P50" s="14"/>
      <c r="Q50" s="14"/>
      <c r="T50" s="2"/>
      <c r="U50" s="3"/>
    </row>
  </sheetData>
  <mergeCells count="111">
    <mergeCell ref="B7:R7"/>
    <mergeCell ref="B9:C9"/>
    <mergeCell ref="E9:I9"/>
    <mergeCell ref="N9:P9"/>
    <mergeCell ref="B10:C10"/>
    <mergeCell ref="E10:I10"/>
    <mergeCell ref="K10:L10"/>
    <mergeCell ref="N10:P10"/>
    <mergeCell ref="B11:R11"/>
    <mergeCell ref="J12:L12"/>
    <mergeCell ref="M12:N12"/>
    <mergeCell ref="O12:P12"/>
    <mergeCell ref="J13:L13"/>
    <mergeCell ref="M13:N13"/>
    <mergeCell ref="O13:P13"/>
    <mergeCell ref="J14:L14"/>
    <mergeCell ref="M14:N14"/>
    <mergeCell ref="O14:P14"/>
    <mergeCell ref="J15:L15"/>
    <mergeCell ref="M15:N15"/>
    <mergeCell ref="O15:P15"/>
    <mergeCell ref="J16:L16"/>
    <mergeCell ref="M16:N16"/>
    <mergeCell ref="O16:P16"/>
    <mergeCell ref="J17:L17"/>
    <mergeCell ref="M17:N17"/>
    <mergeCell ref="O17:P17"/>
    <mergeCell ref="J18:L18"/>
    <mergeCell ref="M18:N18"/>
    <mergeCell ref="O18:P18"/>
    <mergeCell ref="J19:L19"/>
    <mergeCell ref="M19:N19"/>
    <mergeCell ref="O19:P19"/>
    <mergeCell ref="J20:L20"/>
    <mergeCell ref="M20:N20"/>
    <mergeCell ref="O20:P20"/>
    <mergeCell ref="J21:L21"/>
    <mergeCell ref="M21:N21"/>
    <mergeCell ref="O21:P21"/>
    <mergeCell ref="J22:L22"/>
    <mergeCell ref="M22:N22"/>
    <mergeCell ref="O22:P22"/>
    <mergeCell ref="J23:L23"/>
    <mergeCell ref="M23:N23"/>
    <mergeCell ref="O23:P23"/>
    <mergeCell ref="J24:L24"/>
    <mergeCell ref="M24:N24"/>
    <mergeCell ref="O24:P24"/>
    <mergeCell ref="J25:L25"/>
    <mergeCell ref="M25:N25"/>
    <mergeCell ref="O25:P25"/>
    <mergeCell ref="J26:L26"/>
    <mergeCell ref="M26:N26"/>
    <mergeCell ref="O26:P26"/>
    <mergeCell ref="J27:L27"/>
    <mergeCell ref="M27:N27"/>
    <mergeCell ref="O27:P27"/>
    <mergeCell ref="J28:L28"/>
    <mergeCell ref="M28:N28"/>
    <mergeCell ref="O28:P28"/>
    <mergeCell ref="J29:L29"/>
    <mergeCell ref="M29:N29"/>
    <mergeCell ref="O29:P29"/>
    <mergeCell ref="J30:L30"/>
    <mergeCell ref="M30:N30"/>
    <mergeCell ref="O30:P30"/>
    <mergeCell ref="J31:L31"/>
    <mergeCell ref="M31:N31"/>
    <mergeCell ref="O31:P31"/>
    <mergeCell ref="J32:L32"/>
    <mergeCell ref="M32:N32"/>
    <mergeCell ref="O32:P32"/>
    <mergeCell ref="J33:L33"/>
    <mergeCell ref="M33:N33"/>
    <mergeCell ref="O33:P33"/>
    <mergeCell ref="J34:L34"/>
    <mergeCell ref="M34:N34"/>
    <mergeCell ref="O34:P34"/>
    <mergeCell ref="J35:L35"/>
    <mergeCell ref="M35:N35"/>
    <mergeCell ref="O35:P35"/>
    <mergeCell ref="J36:L36"/>
    <mergeCell ref="M36:N36"/>
    <mergeCell ref="O36:P36"/>
    <mergeCell ref="J37:L37"/>
    <mergeCell ref="M37:N37"/>
    <mergeCell ref="O37:P37"/>
    <mergeCell ref="J38:L38"/>
    <mergeCell ref="M38:N38"/>
    <mergeCell ref="O38:P38"/>
    <mergeCell ref="J39:L39"/>
    <mergeCell ref="M39:N39"/>
    <mergeCell ref="O39:P39"/>
    <mergeCell ref="J40:L40"/>
    <mergeCell ref="M40:N40"/>
    <mergeCell ref="O40:P40"/>
    <mergeCell ref="J41:L41"/>
    <mergeCell ref="M41:N41"/>
    <mergeCell ref="O41:P41"/>
    <mergeCell ref="J42:L42"/>
    <mergeCell ref="M42:N42"/>
    <mergeCell ref="O42:P42"/>
    <mergeCell ref="E43:I43"/>
    <mergeCell ref="J43:L43"/>
    <mergeCell ref="M43:N43"/>
    <mergeCell ref="O43:P43"/>
    <mergeCell ref="E47:J47"/>
    <mergeCell ref="L47:N47"/>
    <mergeCell ref="E48:J48"/>
    <mergeCell ref="L48:N48"/>
    <mergeCell ref="P48:Q48"/>
  </mergeCells>
  <dataValidations count="2">
    <dataValidation allowBlank="true" operator="equal" showDropDown="false" showErrorMessage="true" showInputMessage="true" sqref="K9" type="list">
      <formula1>"01,02,03,04,05,06,07,08,09,10,11,12"</formula1>
      <formula2>0</formula2>
    </dataValidation>
    <dataValidation allowBlank="true" operator="equal" showDropDown="false" showErrorMessage="true" showInputMessage="true" sqref="N9" type="list">
      <formula1>$AA$4:$AA$14</formula1>
      <formula2>0</formula2>
    </dataValidation>
  </dataValidations>
  <printOptions headings="false" gridLines="false" gridLinesSet="true" horizontalCentered="false" verticalCentered="false"/>
  <pageMargins left="0.39375" right="0.39375" top="0.39375" bottom="0.393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2007-10-03T19:59:03Z</dcterms:created>
  <dc:creator>Stanislav Zrůst</dc:creator>
  <dc:description/>
  <dc:language>cs-CZ</dc:language>
  <cp:lastModifiedBy/>
  <cp:lastPrinted>2018-01-08T06:40:27Z</cp:lastPrinted>
  <dcterms:modified xsi:type="dcterms:W3CDTF">2021-08-06T23:06:07Z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